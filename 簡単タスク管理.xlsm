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624" codeName="{91AB8045-AFC0-B76E-F17D-A240E00664AE}"/>
  <workbookPr filterPrivacy="1" codeName="ThisWorkbook"/>
  <xr:revisionPtr revIDLastSave="620" documentId="114_{FC6074A7-B85F-4FE0-B028-9FC5672AED64}" xr6:coauthVersionLast="45" xr6:coauthVersionMax="45" xr10:uidLastSave="{96384B0A-6871-4E00-A472-2D3C3826F192}"/>
  <bookViews>
    <workbookView xWindow="1185" yWindow="1365" windowWidth="21855" windowHeight="13995" xr2:uid="{00000000-000D-0000-FFFF-FFFF00000000}"/>
  </bookViews>
  <sheets>
    <sheet name="一覧" sheetId="1" r:id="rId1"/>
    <sheet name="設定" sheetId="2" r:id="rId2"/>
  </sheets>
  <functionGroups builtInGroupCount="19"/>
  <definedNames>
    <definedName name="_xlnm._FilterDatabase" localSheetId="0" hidden="1">一覧!$B$6:$L$16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8" i="1" l="1"/>
  <c r="K9" i="1"/>
  <c r="K10" i="1"/>
  <c r="K11" i="1"/>
  <c r="K14" i="1"/>
  <c r="K13" i="1"/>
  <c r="K15" i="1"/>
  <c r="K12" i="1"/>
  <c r="K16" i="1"/>
  <c r="K7" i="1"/>
  <c r="N2" i="1" l="1"/>
  <c r="N5" i="1" l="1"/>
  <c r="N6" i="1" l="1"/>
  <c r="N4" i="1"/>
  <c r="O5" i="1"/>
  <c r="O4" i="1" s="1"/>
  <c r="P5" i="1" l="1"/>
  <c r="P6" i="1" s="1"/>
  <c r="O6" i="1"/>
  <c r="Q5" i="1" l="1"/>
  <c r="P4" i="1"/>
  <c r="Q4" i="1" l="1"/>
  <c r="R5" i="1"/>
  <c r="Q6" i="1"/>
  <c r="R4" i="1" l="1"/>
  <c r="R6" i="1"/>
  <c r="S5" i="1"/>
  <c r="S4" i="1" l="1"/>
  <c r="T5" i="1"/>
  <c r="S6" i="1"/>
  <c r="T4" i="1" l="1"/>
  <c r="U5" i="1"/>
  <c r="T6" i="1"/>
  <c r="U4" i="1" l="1"/>
  <c r="U6" i="1"/>
  <c r="V5" i="1"/>
  <c r="V4" i="1" l="1"/>
  <c r="V6" i="1"/>
  <c r="W5" i="1"/>
  <c r="W4" i="1" l="1"/>
  <c r="W6" i="1"/>
  <c r="X5" i="1"/>
  <c r="X4" i="1" l="1"/>
  <c r="Y5" i="1"/>
  <c r="X6" i="1"/>
  <c r="Y4" i="1" l="1"/>
  <c r="Z5" i="1"/>
  <c r="Y6" i="1"/>
  <c r="Z4" i="1" l="1"/>
  <c r="AA5" i="1"/>
  <c r="Z6" i="1"/>
  <c r="AA4" i="1" l="1"/>
  <c r="AA6" i="1"/>
  <c r="AB5" i="1"/>
  <c r="AB4" i="1" l="1"/>
  <c r="AB6" i="1"/>
  <c r="AC5" i="1"/>
  <c r="AC4" i="1" l="1"/>
  <c r="AC6" i="1"/>
  <c r="AD5" i="1"/>
  <c r="AD4" i="1" l="1"/>
  <c r="AD6" i="1"/>
  <c r="AE5" i="1"/>
  <c r="AE4" i="1" l="1"/>
  <c r="AF5" i="1"/>
  <c r="AE6" i="1"/>
  <c r="AF4" i="1" l="1"/>
  <c r="AG5" i="1"/>
  <c r="AF6" i="1"/>
  <c r="AG4" i="1" l="1"/>
  <c r="AH5" i="1"/>
  <c r="AG6" i="1"/>
  <c r="AH4" i="1" l="1"/>
  <c r="AH6" i="1"/>
  <c r="AI5" i="1"/>
  <c r="AI4" i="1" l="1"/>
  <c r="AI6" i="1"/>
  <c r="AJ5" i="1"/>
  <c r="AJ4" i="1" l="1"/>
  <c r="AK5" i="1"/>
  <c r="AJ6" i="1"/>
  <c r="AK4" i="1" l="1"/>
  <c r="AK6" i="1"/>
  <c r="AL5" i="1"/>
  <c r="AL4" i="1" l="1"/>
  <c r="AL6" i="1"/>
  <c r="AM5" i="1"/>
  <c r="AM4" i="1" l="1"/>
  <c r="AM6" i="1"/>
  <c r="AN5" i="1"/>
  <c r="AN4" i="1" l="1"/>
  <c r="AO5" i="1"/>
  <c r="AN6" i="1"/>
  <c r="AO4" i="1" l="1"/>
  <c r="AO6" i="1"/>
  <c r="AP5" i="1"/>
  <c r="AP4" i="1" l="1"/>
  <c r="AQ5" i="1"/>
  <c r="AP6" i="1"/>
  <c r="AQ4" i="1" l="1"/>
  <c r="AQ6" i="1"/>
  <c r="AR5" i="1"/>
  <c r="AR4" i="1" l="1"/>
  <c r="AS5" i="1"/>
  <c r="AR6" i="1"/>
  <c r="AS4" i="1" l="1"/>
  <c r="AS6" i="1"/>
  <c r="AT5" i="1"/>
  <c r="AT4" i="1" l="1"/>
  <c r="AT6" i="1"/>
  <c r="AU5" i="1"/>
  <c r="AU4" i="1" l="1"/>
  <c r="AV5" i="1"/>
  <c r="AU6" i="1"/>
  <c r="AV4" i="1" l="1"/>
  <c r="AW5" i="1"/>
  <c r="AV6" i="1"/>
  <c r="AW4" i="1" l="1"/>
  <c r="AX5" i="1"/>
  <c r="AW6" i="1"/>
  <c r="AX4" i="1" l="1"/>
  <c r="AY5" i="1"/>
  <c r="AX6" i="1"/>
  <c r="AY4" i="1" l="1"/>
  <c r="AY6" i="1"/>
  <c r="AZ5" i="1"/>
  <c r="AZ4" i="1" l="1"/>
  <c r="BA5" i="1"/>
  <c r="AZ6" i="1"/>
  <c r="BA4" i="1" l="1"/>
  <c r="BA6" i="1"/>
  <c r="BB5" i="1"/>
  <c r="BB4" i="1" l="1"/>
  <c r="BB6" i="1"/>
  <c r="BC5" i="1"/>
  <c r="BC4" i="1" l="1"/>
  <c r="BC6" i="1"/>
  <c r="BD5" i="1"/>
  <c r="BD4" i="1" l="1"/>
  <c r="BE5" i="1"/>
  <c r="BD6" i="1"/>
  <c r="BE4" i="1" l="1"/>
  <c r="BF5" i="1"/>
  <c r="BE6" i="1"/>
  <c r="BF4" i="1" l="1"/>
  <c r="BF6" i="1"/>
  <c r="BG5" i="1"/>
  <c r="BG4" i="1" l="1"/>
  <c r="BG6" i="1"/>
  <c r="BH5" i="1"/>
  <c r="BH4" i="1" l="1"/>
  <c r="BI5" i="1"/>
  <c r="BH6" i="1"/>
  <c r="BI4" i="1" l="1"/>
  <c r="BI6" i="1"/>
  <c r="BJ5" i="1"/>
  <c r="BJ4" i="1" l="1"/>
  <c r="BJ6" i="1"/>
  <c r="BK5" i="1"/>
  <c r="BK4" i="1" l="1"/>
  <c r="BK6" i="1"/>
  <c r="BL5" i="1"/>
  <c r="BL4" i="1" l="1"/>
  <c r="BM5" i="1"/>
  <c r="BL6" i="1"/>
  <c r="BM4" i="1" l="1"/>
  <c r="BN5" i="1"/>
  <c r="BM6" i="1"/>
  <c r="BN4" i="1" l="1"/>
  <c r="BO5" i="1"/>
  <c r="BN6" i="1"/>
  <c r="BO4" i="1" l="1"/>
  <c r="BO6" i="1"/>
  <c r="BP5" i="1"/>
  <c r="BP4" i="1" l="1"/>
  <c r="BQ5" i="1"/>
  <c r="BP6" i="1"/>
  <c r="BQ4" i="1" l="1"/>
  <c r="BQ6" i="1"/>
  <c r="BR5" i="1"/>
  <c r="BR4" i="1" l="1"/>
  <c r="BR6" i="1"/>
  <c r="BS5" i="1"/>
  <c r="BS4" i="1" l="1"/>
  <c r="BT5" i="1"/>
  <c r="BS6" i="1"/>
  <c r="BT4" i="1" l="1"/>
  <c r="BU5" i="1"/>
  <c r="BT6" i="1"/>
  <c r="BU4" i="1" l="1"/>
  <c r="BV5" i="1"/>
  <c r="BU6" i="1"/>
  <c r="BV4" i="1" l="1"/>
  <c r="BV6" i="1"/>
  <c r="BW5" i="1"/>
  <c r="BW4" i="1" l="1"/>
  <c r="BW6" i="1"/>
  <c r="BX5" i="1"/>
  <c r="BX4" i="1" l="1"/>
  <c r="BY5" i="1"/>
  <c r="BX6" i="1"/>
  <c r="BY4" i="1" l="1"/>
  <c r="BY6" i="1"/>
  <c r="BZ5" i="1"/>
  <c r="BZ4" i="1" l="1"/>
  <c r="BZ6" i="1"/>
  <c r="CA5" i="1"/>
  <c r="CA4" i="1" l="1"/>
  <c r="CB5" i="1"/>
  <c r="CA6" i="1"/>
  <c r="CB4" i="1" l="1"/>
  <c r="CC5" i="1"/>
  <c r="CB6" i="1"/>
  <c r="CC4" i="1" l="1"/>
  <c r="CD5" i="1"/>
  <c r="CC6" i="1"/>
  <c r="CD4" i="1" l="1"/>
  <c r="CE5" i="1"/>
  <c r="CD6" i="1"/>
  <c r="CE4" i="1" l="1"/>
  <c r="CE6" i="1"/>
  <c r="CF5" i="1"/>
  <c r="CF4" i="1" l="1"/>
  <c r="CF6" i="1"/>
  <c r="CG5" i="1"/>
  <c r="CG4" i="1" l="1"/>
  <c r="CG6" i="1"/>
  <c r="CH5" i="1"/>
  <c r="CH4" i="1" l="1"/>
  <c r="CH6" i="1"/>
  <c r="CI5" i="1"/>
  <c r="CI4" i="1" l="1"/>
  <c r="CI6" i="1"/>
  <c r="CJ5" i="1"/>
  <c r="CJ4" i="1" l="1"/>
  <c r="CK5" i="1"/>
  <c r="CJ6" i="1"/>
  <c r="CK4" i="1" l="1"/>
  <c r="CL5" i="1"/>
  <c r="CK6" i="1"/>
  <c r="CL4" i="1" l="1"/>
  <c r="CM5" i="1"/>
  <c r="CL6" i="1"/>
  <c r="CM4" i="1" l="1"/>
  <c r="CM6" i="1"/>
  <c r="CN5" i="1"/>
  <c r="CN4" i="1" l="1"/>
  <c r="CO5" i="1"/>
  <c r="CN6" i="1"/>
  <c r="CO4" i="1" l="1"/>
  <c r="CO6" i="1"/>
  <c r="CP5" i="1"/>
  <c r="CP4" i="1" l="1"/>
  <c r="CP6" i="1"/>
  <c r="CQ5" i="1"/>
  <c r="CQ4" i="1" l="1"/>
  <c r="CR5" i="1"/>
  <c r="CQ6" i="1"/>
  <c r="CR4" i="1" l="1"/>
  <c r="CR6" i="1"/>
  <c r="CS5" i="1"/>
  <c r="CS4" i="1" l="1"/>
  <c r="CT5" i="1"/>
  <c r="CS6" i="1"/>
  <c r="CT4" i="1" l="1"/>
  <c r="CT6" i="1"/>
  <c r="CU5" i="1"/>
  <c r="CU4" i="1" l="1"/>
  <c r="CU6" i="1"/>
  <c r="CV5" i="1"/>
  <c r="CV4" i="1" l="1"/>
  <c r="CW5" i="1"/>
  <c r="CV6" i="1"/>
  <c r="CW4" i="1" l="1"/>
  <c r="CW6" i="1"/>
  <c r="CX5" i="1"/>
  <c r="CX4" i="1" l="1"/>
  <c r="CX6" i="1"/>
  <c r="CY5" i="1"/>
  <c r="CY6" i="1" l="1"/>
  <c r="CY4" i="1"/>
</calcChain>
</file>

<file path=xl/sharedStrings.xml><?xml version="1.0" encoding="utf-8"?>
<sst xmlns="http://schemas.openxmlformats.org/spreadsheetml/2006/main" count="27" uniqueCount="23">
  <si>
    <t>簡単タスク管理</t>
    <rPh sb="0" eb="2">
      <t>カンタン</t>
    </rPh>
    <rPh sb="5" eb="7">
      <t>カンリ</t>
    </rPh>
    <phoneticPr fontId="1"/>
  </si>
  <si>
    <t>No.</t>
    <phoneticPr fontId="1"/>
  </si>
  <si>
    <t>優先度</t>
    <rPh sb="0" eb="3">
      <t>ユウセンド</t>
    </rPh>
    <phoneticPr fontId="1"/>
  </si>
  <si>
    <t>担当</t>
    <rPh sb="0" eb="2">
      <t>タントウ</t>
    </rPh>
    <phoneticPr fontId="1"/>
  </si>
  <si>
    <t>開始</t>
    <rPh sb="0" eb="2">
      <t>カイシ</t>
    </rPh>
    <phoneticPr fontId="1"/>
  </si>
  <si>
    <t>終了</t>
    <rPh sb="0" eb="2">
      <t>シュウリョウ</t>
    </rPh>
    <phoneticPr fontId="1"/>
  </si>
  <si>
    <t>備考</t>
    <rPh sb="0" eb="2">
      <t>ビコウ</t>
    </rPh>
    <phoneticPr fontId="1"/>
  </si>
  <si>
    <t>進捗</t>
    <rPh sb="0" eb="2">
      <t>シンチョク</t>
    </rPh>
    <phoneticPr fontId="1"/>
  </si>
  <si>
    <t>プロジェクト</t>
    <phoneticPr fontId="1"/>
  </si>
  <si>
    <t>カテゴリ</t>
    <phoneticPr fontId="1"/>
  </si>
  <si>
    <t>設定</t>
    <rPh sb="0" eb="2">
      <t>セッテイ</t>
    </rPh>
    <phoneticPr fontId="1"/>
  </si>
  <si>
    <t>祝日</t>
    <rPh sb="0" eb="2">
      <t>シュクジツ</t>
    </rPh>
    <phoneticPr fontId="1"/>
  </si>
  <si>
    <t>日前から表示</t>
    <rPh sb="1" eb="2">
      <t>マエ</t>
    </rPh>
    <rPh sb="4" eb="6">
      <t>ヒョウジ</t>
    </rPh>
    <phoneticPr fontId="1"/>
  </si>
  <si>
    <t>日数</t>
    <rPh sb="0" eb="2">
      <t>ニッスウ</t>
    </rPh>
    <phoneticPr fontId="1"/>
  </si>
  <si>
    <t>タスク</t>
    <phoneticPr fontId="1"/>
  </si>
  <si>
    <t>開始行</t>
    <rPh sb="0" eb="3">
      <t>カイシギョウ</t>
    </rPh>
    <phoneticPr fontId="1"/>
  </si>
  <si>
    <t>開始列</t>
    <rPh sb="0" eb="3">
      <t>カイシレツ</t>
    </rPh>
    <phoneticPr fontId="1"/>
  </si>
  <si>
    <t>終了列</t>
    <rPh sb="0" eb="2">
      <t>シュウリョウ</t>
    </rPh>
    <rPh sb="2" eb="3">
      <t>レツ</t>
    </rPh>
    <phoneticPr fontId="1"/>
  </si>
  <si>
    <t>B</t>
    <phoneticPr fontId="1"/>
  </si>
  <si>
    <t>L</t>
    <phoneticPr fontId="1"/>
  </si>
  <si>
    <t>並び替え優先項目</t>
    <rPh sb="0" eb="1">
      <t>ナラ</t>
    </rPh>
    <rPh sb="2" eb="3">
      <t>カ</t>
    </rPh>
    <rPh sb="4" eb="6">
      <t>ユウセン</t>
    </rPh>
    <rPh sb="6" eb="8">
      <t>コウモク</t>
    </rPh>
    <phoneticPr fontId="1"/>
  </si>
  <si>
    <t>見出し行</t>
    <rPh sb="0" eb="2">
      <t>ミダ</t>
    </rPh>
    <rPh sb="3" eb="4">
      <t>ギョウ</t>
    </rPh>
    <phoneticPr fontId="1"/>
  </si>
  <si>
    <t>基準日</t>
    <rPh sb="0" eb="3">
      <t>キジュンビ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</si>
</sst>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mm/dd"/>
    <numFmt numFmtId="177" formatCode="0_ "/>
    <numFmt numFmtId="178" formatCode="d"/>
  </numFmts>
  <fonts count="12" x14ac:knownFonts="1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Meiryo UI"/>
      <family val="3"/>
      <charset val="128"/>
    </font>
    <font>
      <sz val="11"/>
      <color theme="0"/>
      <name val="Meiryo UI"/>
      <family val="3"/>
      <charset val="128"/>
    </font>
    <font>
      <b/>
      <sz val="16"/>
      <color rgb="FF009999"/>
      <name val="Meiryo UI"/>
      <family val="3"/>
      <charset val="128"/>
    </font>
    <font>
      <sz val="8"/>
      <color theme="1"/>
      <name val="Meiryo UI"/>
      <family val="3"/>
      <charset val="128"/>
    </font>
    <font>
      <sz val="6"/>
      <color theme="1"/>
      <name val="Meiryo UI"/>
      <family val="3"/>
      <charset val="128"/>
    </font>
    <font>
      <sz val="8"/>
      <color theme="0"/>
      <name val="Meiryo UI"/>
      <family val="3"/>
      <charset val="128"/>
    </font>
    <font>
      <sz val="11"/>
      <color rgb="FF009999"/>
      <name val="Meiryo UI"/>
      <family val="3"/>
      <charset val="128"/>
    </font>
    <font>
      <sz val="10"/>
      <color rgb="FF009999"/>
      <name val="Meiryo UI"/>
      <family val="3"/>
      <charset val="128"/>
    </font>
    <font>
      <sz val="11"/>
      <name val="Meiryo UI"/>
      <family val="3"/>
      <charset val="128"/>
    </font>
    <font>
      <sz val="9"/>
      <color rgb="FF000000"/>
      <name val="Meiryo UI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0099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249977111117893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2" fillId="0" borderId="0" xfId="0" applyFont="1"/>
    <xf numFmtId="0" fontId="4" fillId="0" borderId="0" xfId="0" applyFont="1"/>
    <xf numFmtId="0" fontId="2" fillId="0" borderId="1" xfId="0" applyFont="1" applyBorder="1"/>
    <xf numFmtId="0" fontId="3" fillId="2" borderId="2" xfId="0" applyFont="1" applyFill="1" applyBorder="1" applyAlignment="1">
      <alignment horizontal="center" vertical="center"/>
    </xf>
    <xf numFmtId="0" fontId="2" fillId="2" borderId="3" xfId="0" applyFont="1" applyFill="1" applyBorder="1"/>
    <xf numFmtId="0" fontId="3" fillId="2" borderId="4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/>
    <xf numFmtId="0" fontId="6" fillId="0" borderId="8" xfId="0" applyFont="1" applyBorder="1" applyAlignment="1">
      <alignment horizontal="center" vertical="center"/>
    </xf>
    <xf numFmtId="0" fontId="6" fillId="0" borderId="9" xfId="0" applyFont="1" applyBorder="1"/>
    <xf numFmtId="0" fontId="6" fillId="0" borderId="10" xfId="0" applyFont="1" applyBorder="1"/>
    <xf numFmtId="0" fontId="2" fillId="0" borderId="1" xfId="0" applyFont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0" fontId="7" fillId="2" borderId="9" xfId="0" applyFont="1" applyFill="1" applyBorder="1"/>
    <xf numFmtId="0" fontId="7" fillId="2" borderId="10" xfId="0" applyFont="1" applyFill="1" applyBorder="1"/>
    <xf numFmtId="176" fontId="2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9" fontId="2" fillId="0" borderId="1" xfId="0" applyNumberFormat="1" applyFont="1" applyBorder="1" applyAlignment="1">
      <alignment horizontal="center" vertical="center"/>
    </xf>
    <xf numFmtId="0" fontId="9" fillId="0" borderId="0" xfId="0" applyFont="1" applyFill="1"/>
    <xf numFmtId="0" fontId="6" fillId="0" borderId="9" xfId="0" applyFont="1" applyBorder="1" applyAlignment="1">
      <alignment horizontal="center" vertical="center"/>
    </xf>
    <xf numFmtId="0" fontId="6" fillId="0" borderId="0" xfId="0" applyFont="1" applyBorder="1"/>
    <xf numFmtId="178" fontId="7" fillId="2" borderId="8" xfId="0" applyNumberFormat="1" applyFont="1" applyFill="1" applyBorder="1" applyAlignment="1">
      <alignment horizontal="center" vertical="center"/>
    </xf>
    <xf numFmtId="178" fontId="7" fillId="2" borderId="9" xfId="0" applyNumberFormat="1" applyFont="1" applyFill="1" applyBorder="1" applyAlignment="1">
      <alignment horizontal="center" vertical="center"/>
    </xf>
    <xf numFmtId="178" fontId="7" fillId="2" borderId="10" xfId="0" applyNumberFormat="1" applyFont="1" applyFill="1" applyBorder="1" applyAlignment="1">
      <alignment horizontal="center" vertical="center"/>
    </xf>
    <xf numFmtId="177" fontId="10" fillId="0" borderId="1" xfId="0" applyNumberFormat="1" applyFont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14" fontId="8" fillId="4" borderId="11" xfId="0" applyNumberFormat="1" applyFont="1" applyFill="1" applyBorder="1" applyAlignment="1">
      <alignment horizontal="center" vertical="center"/>
    </xf>
    <xf numFmtId="14" fontId="8" fillId="4" borderId="12" xfId="0" applyNumberFormat="1" applyFont="1" applyFill="1" applyBorder="1" applyAlignment="1">
      <alignment horizontal="center" vertical="center"/>
    </xf>
    <xf numFmtId="14" fontId="8" fillId="4" borderId="13" xfId="0" applyNumberFormat="1" applyFont="1" applyFill="1" applyBorder="1" applyAlignment="1">
      <alignment horizontal="center" vertical="center"/>
    </xf>
    <xf numFmtId="177" fontId="8" fillId="4" borderId="14" xfId="0" applyNumberFormat="1" applyFont="1" applyFill="1" applyBorder="1" applyAlignment="1">
      <alignment horizontal="center" vertical="center"/>
    </xf>
    <xf numFmtId="177" fontId="8" fillId="4" borderId="15" xfId="0" applyNumberFormat="1" applyFont="1" applyFill="1" applyBorder="1" applyAlignment="1">
      <alignment horizontal="center" vertical="center"/>
    </xf>
    <xf numFmtId="177" fontId="8" fillId="4" borderId="16" xfId="0" applyNumberFormat="1" applyFont="1" applyFill="1" applyBorder="1" applyAlignment="1">
      <alignment horizontal="center" vertical="center"/>
    </xf>
  </cellXfs>
  <cellStyles count="1">
    <cellStyle name="標準" xfId="0" builtinId="0"/>
  </cellStyles>
  <dxfs count="14">
    <dxf>
      <fill>
        <patternFill>
          <bgColor theme="0" tint="-0.14996795556505021"/>
        </patternFill>
      </fill>
    </dxf>
    <dxf>
      <font>
        <color rgb="FF00CC99"/>
      </font>
    </dxf>
    <dxf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CCFF"/>
        </patternFill>
      </fill>
    </dxf>
    <dxf>
      <fill>
        <patternFill>
          <bgColor theme="0" tint="-0.34998626667073579"/>
        </patternFill>
      </fill>
    </dxf>
    <dxf>
      <font>
        <b/>
        <i val="0"/>
        <color theme="7" tint="-0.24994659260841701"/>
      </font>
    </dxf>
    <dxf>
      <font>
        <color theme="0" tint="-0.24994659260841701"/>
      </font>
    </dxf>
    <dxf>
      <fill>
        <patternFill>
          <bgColor theme="7" tint="0.59996337778862885"/>
        </patternFill>
      </fill>
    </dxf>
    <dxf>
      <border>
        <left style="thin">
          <color auto="1"/>
        </left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rgb="FFCCFFCC"/>
        </patternFill>
      </fill>
    </dxf>
    <dxf>
      <font>
        <color theme="4" tint="-0.24994659260841701"/>
      </font>
    </dxf>
    <dxf>
      <font>
        <color theme="5" tint="-0.24994659260841701"/>
      </font>
    </dxf>
  </dxfs>
  <tableStyles count="0" defaultTableStyle="TableStyleMedium2" defaultPivotStyle="PivotStyleLight16"/>
  <colors>
    <mruColors>
      <color rgb="FFFFCCFF"/>
      <color rgb="FF00CC99"/>
      <color rgb="FFCCFFCC"/>
      <color rgb="FFFFFFCC"/>
      <color rgb="FF009999"/>
      <color rgb="FF33CCCC"/>
      <color rgb="FF3366FF"/>
      <color rgb="FF6666FF"/>
      <color rgb="FF99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1</xdr:row>
          <xdr:rowOff>47625</xdr:rowOff>
        </xdr:from>
        <xdr:to>
          <xdr:col>4</xdr:col>
          <xdr:colOff>1057275</xdr:colOff>
          <xdr:row>2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タスクのソート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1</xdr:row>
          <xdr:rowOff>47625</xdr:rowOff>
        </xdr:from>
        <xdr:to>
          <xdr:col>7</xdr:col>
          <xdr:colOff>323850</xdr:colOff>
          <xdr:row>2</xdr:row>
          <xdr:rowOff>104775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新しい行の追加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Y73"/>
  <sheetViews>
    <sheetView tabSelected="1" zoomScale="115" zoomScaleNormal="115" workbookViewId="0">
      <pane xSplit="13" ySplit="6" topLeftCell="N7" activePane="bottomRight" state="frozen"/>
      <selection pane="topRight" activeCell="M1" sqref="M1"/>
      <selection pane="bottomLeft" activeCell="A7" sqref="A7"/>
      <selection pane="bottomRight"/>
    </sheetView>
  </sheetViews>
  <sheetFormatPr defaultRowHeight="15.75" outlineLevelCol="1" x14ac:dyDescent="0.25"/>
  <cols>
    <col min="1" max="1" width="3.625" style="1" customWidth="1"/>
    <col min="2" max="2" width="5.125" style="1" bestFit="1" customWidth="1"/>
    <col min="3" max="3" width="18.625" style="1" customWidth="1"/>
    <col min="4" max="4" width="13.375" style="1" customWidth="1"/>
    <col min="5" max="5" width="27.875" style="1" bestFit="1" customWidth="1"/>
    <col min="6" max="6" width="9" style="20"/>
    <col min="7" max="7" width="7.375" style="20" customWidth="1"/>
    <col min="8" max="8" width="9" style="20" customWidth="1"/>
    <col min="9" max="11" width="7.375" style="1" customWidth="1" outlineLevel="1"/>
    <col min="12" max="12" width="25.625" style="1" customWidth="1" outlineLevel="1"/>
    <col min="13" max="13" width="3.625" style="1" customWidth="1"/>
    <col min="14" max="14" width="3.375" style="7" customWidth="1"/>
    <col min="15" max="43" width="3.375" style="8" customWidth="1"/>
    <col min="44" max="44" width="3.375" style="7" customWidth="1"/>
    <col min="45" max="73" width="3.375" style="8" customWidth="1"/>
    <col min="74" max="74" width="3.375" style="7" customWidth="1"/>
    <col min="75" max="103" width="3.375" style="8" customWidth="1"/>
    <col min="104" max="16384" width="9" style="1"/>
  </cols>
  <sheetData>
    <row r="1" spans="1:103" ht="21.75" thickBot="1" x14ac:dyDescent="0.35">
      <c r="A1" s="2" t="s">
        <v>0</v>
      </c>
    </row>
    <row r="2" spans="1:103" ht="15.75" customHeight="1" thickBot="1" x14ac:dyDescent="0.35">
      <c r="A2" s="2"/>
      <c r="N2" s="31">
        <f ca="1">TODAY()</f>
        <v>45494</v>
      </c>
      <c r="O2" s="32"/>
      <c r="P2" s="32"/>
      <c r="Q2" s="32"/>
      <c r="R2" s="32"/>
      <c r="S2" s="33"/>
      <c r="T2" s="23" t="s">
        <v>22</v>
      </c>
    </row>
    <row r="3" spans="1:103" x14ac:dyDescent="0.25">
      <c r="N3" s="34">
        <v>7</v>
      </c>
      <c r="O3" s="35"/>
      <c r="P3" s="35"/>
      <c r="Q3" s="35"/>
      <c r="R3" s="35"/>
      <c r="S3" s="36"/>
      <c r="T3" s="23" t="s">
        <v>12</v>
      </c>
    </row>
    <row r="4" spans="1:103" x14ac:dyDescent="0.25">
      <c r="B4" s="4" t="s">
        <v>1</v>
      </c>
      <c r="C4" s="4" t="s">
        <v>8</v>
      </c>
      <c r="D4" s="4" t="s">
        <v>9</v>
      </c>
      <c r="E4" s="4" t="s">
        <v>14</v>
      </c>
      <c r="F4" s="4" t="s">
        <v>3</v>
      </c>
      <c r="G4" s="4" t="s">
        <v>2</v>
      </c>
      <c r="H4" s="4" t="s">
        <v>7</v>
      </c>
      <c r="I4" s="4" t="s">
        <v>4</v>
      </c>
      <c r="J4" s="4" t="s">
        <v>5</v>
      </c>
      <c r="K4" s="4" t="s">
        <v>13</v>
      </c>
      <c r="L4" s="4" t="s">
        <v>6</v>
      </c>
      <c r="N4" s="16">
        <f ca="1">MONTH(N5)</f>
        <v>7</v>
      </c>
      <c r="O4" s="17" t="str">
        <f ca="1">IF(DAY(O5)=1, MONTH(O5), "")</f>
        <v/>
      </c>
      <c r="P4" s="17" t="str">
        <f t="shared" ref="P4:CA4" ca="1" si="0">IF(DAY(P5)=1, MONTH(P5), "")</f>
        <v/>
      </c>
      <c r="Q4" s="17" t="str">
        <f t="shared" ca="1" si="0"/>
        <v/>
      </c>
      <c r="R4" s="17" t="str">
        <f t="shared" ca="1" si="0"/>
        <v/>
      </c>
      <c r="S4" s="17" t="str">
        <f t="shared" ca="1" si="0"/>
        <v/>
      </c>
      <c r="T4" s="17" t="str">
        <f t="shared" ca="1" si="0"/>
        <v/>
      </c>
      <c r="U4" s="17" t="str">
        <f t="shared" ca="1" si="0"/>
        <v/>
      </c>
      <c r="V4" s="17" t="str">
        <f t="shared" ca="1" si="0"/>
        <v/>
      </c>
      <c r="W4" s="17" t="str">
        <f t="shared" ca="1" si="0"/>
        <v/>
      </c>
      <c r="X4" s="17" t="str">
        <f t="shared" ca="1" si="0"/>
        <v/>
      </c>
      <c r="Y4" s="17" t="str">
        <f t="shared" ca="1" si="0"/>
        <v/>
      </c>
      <c r="Z4" s="17" t="str">
        <f t="shared" ca="1" si="0"/>
        <v/>
      </c>
      <c r="AA4" s="17" t="str">
        <f t="shared" ca="1" si="0"/>
        <v/>
      </c>
      <c r="AB4" s="17" t="str">
        <f t="shared" ca="1" si="0"/>
        <v/>
      </c>
      <c r="AC4" s="17" t="str">
        <f t="shared" ca="1" si="0"/>
        <v/>
      </c>
      <c r="AD4" s="17" t="str">
        <f t="shared" ca="1" si="0"/>
        <v/>
      </c>
      <c r="AE4" s="17" t="str">
        <f t="shared" ca="1" si="0"/>
        <v/>
      </c>
      <c r="AF4" s="17">
        <f t="shared" ca="1" si="0"/>
        <v>8</v>
      </c>
      <c r="AG4" s="17" t="str">
        <f t="shared" ca="1" si="0"/>
        <v/>
      </c>
      <c r="AH4" s="17" t="str">
        <f t="shared" ca="1" si="0"/>
        <v/>
      </c>
      <c r="AI4" s="17" t="str">
        <f t="shared" ca="1" si="0"/>
        <v/>
      </c>
      <c r="AJ4" s="17" t="str">
        <f t="shared" ca="1" si="0"/>
        <v/>
      </c>
      <c r="AK4" s="17" t="str">
        <f t="shared" ca="1" si="0"/>
        <v/>
      </c>
      <c r="AL4" s="17" t="str">
        <f t="shared" ca="1" si="0"/>
        <v/>
      </c>
      <c r="AM4" s="17" t="str">
        <f t="shared" ca="1" si="0"/>
        <v/>
      </c>
      <c r="AN4" s="17" t="str">
        <f t="shared" ca="1" si="0"/>
        <v/>
      </c>
      <c r="AO4" s="17" t="str">
        <f t="shared" ca="1" si="0"/>
        <v/>
      </c>
      <c r="AP4" s="17" t="str">
        <f t="shared" ca="1" si="0"/>
        <v/>
      </c>
      <c r="AQ4" s="17" t="str">
        <f t="shared" ca="1" si="0"/>
        <v/>
      </c>
      <c r="AR4" s="17" t="str">
        <f t="shared" ca="1" si="0"/>
        <v/>
      </c>
      <c r="AS4" s="17" t="str">
        <f t="shared" ca="1" si="0"/>
        <v/>
      </c>
      <c r="AT4" s="17" t="str">
        <f t="shared" ca="1" si="0"/>
        <v/>
      </c>
      <c r="AU4" s="17" t="str">
        <f t="shared" ca="1" si="0"/>
        <v/>
      </c>
      <c r="AV4" s="17" t="str">
        <f t="shared" ca="1" si="0"/>
        <v/>
      </c>
      <c r="AW4" s="17" t="str">
        <f t="shared" ca="1" si="0"/>
        <v/>
      </c>
      <c r="AX4" s="17" t="str">
        <f t="shared" ca="1" si="0"/>
        <v/>
      </c>
      <c r="AY4" s="17" t="str">
        <f t="shared" ca="1" si="0"/>
        <v/>
      </c>
      <c r="AZ4" s="17" t="str">
        <f t="shared" ca="1" si="0"/>
        <v/>
      </c>
      <c r="BA4" s="17" t="str">
        <f t="shared" ca="1" si="0"/>
        <v/>
      </c>
      <c r="BB4" s="17" t="str">
        <f t="shared" ca="1" si="0"/>
        <v/>
      </c>
      <c r="BC4" s="17" t="str">
        <f t="shared" ca="1" si="0"/>
        <v/>
      </c>
      <c r="BD4" s="17" t="str">
        <f t="shared" ca="1" si="0"/>
        <v/>
      </c>
      <c r="BE4" s="17" t="str">
        <f t="shared" ca="1" si="0"/>
        <v/>
      </c>
      <c r="BF4" s="17" t="str">
        <f t="shared" ca="1" si="0"/>
        <v/>
      </c>
      <c r="BG4" s="17" t="str">
        <f t="shared" ca="1" si="0"/>
        <v/>
      </c>
      <c r="BH4" s="17" t="str">
        <f t="shared" ca="1" si="0"/>
        <v/>
      </c>
      <c r="BI4" s="17" t="str">
        <f t="shared" ca="1" si="0"/>
        <v/>
      </c>
      <c r="BJ4" s="17" t="str">
        <f t="shared" ca="1" si="0"/>
        <v/>
      </c>
      <c r="BK4" s="17">
        <f t="shared" ca="1" si="0"/>
        <v>9</v>
      </c>
      <c r="BL4" s="17" t="str">
        <f t="shared" ca="1" si="0"/>
        <v/>
      </c>
      <c r="BM4" s="17" t="str">
        <f t="shared" ca="1" si="0"/>
        <v/>
      </c>
      <c r="BN4" s="17" t="str">
        <f t="shared" ca="1" si="0"/>
        <v/>
      </c>
      <c r="BO4" s="17" t="str">
        <f t="shared" ca="1" si="0"/>
        <v/>
      </c>
      <c r="BP4" s="17" t="str">
        <f t="shared" ca="1" si="0"/>
        <v/>
      </c>
      <c r="BQ4" s="17" t="str">
        <f t="shared" ca="1" si="0"/>
        <v/>
      </c>
      <c r="BR4" s="17" t="str">
        <f t="shared" ca="1" si="0"/>
        <v/>
      </c>
      <c r="BS4" s="17" t="str">
        <f t="shared" ca="1" si="0"/>
        <v/>
      </c>
      <c r="BT4" s="17" t="str">
        <f t="shared" ca="1" si="0"/>
        <v/>
      </c>
      <c r="BU4" s="17" t="str">
        <f t="shared" ca="1" si="0"/>
        <v/>
      </c>
      <c r="BV4" s="17" t="str">
        <f t="shared" ca="1" si="0"/>
        <v/>
      </c>
      <c r="BW4" s="17" t="str">
        <f t="shared" ca="1" si="0"/>
        <v/>
      </c>
      <c r="BX4" s="17" t="str">
        <f t="shared" ca="1" si="0"/>
        <v/>
      </c>
      <c r="BY4" s="17" t="str">
        <f t="shared" ca="1" si="0"/>
        <v/>
      </c>
      <c r="BZ4" s="17" t="str">
        <f t="shared" ca="1" si="0"/>
        <v/>
      </c>
      <c r="CA4" s="17" t="str">
        <f t="shared" ca="1" si="0"/>
        <v/>
      </c>
      <c r="CB4" s="17" t="str">
        <f t="shared" ref="CB4:CY4" ca="1" si="1">IF(DAY(CB5)=1, MONTH(CB5), "")</f>
        <v/>
      </c>
      <c r="CC4" s="17" t="str">
        <f t="shared" ca="1" si="1"/>
        <v/>
      </c>
      <c r="CD4" s="17" t="str">
        <f t="shared" ca="1" si="1"/>
        <v/>
      </c>
      <c r="CE4" s="17" t="str">
        <f t="shared" ca="1" si="1"/>
        <v/>
      </c>
      <c r="CF4" s="17" t="str">
        <f t="shared" ca="1" si="1"/>
        <v/>
      </c>
      <c r="CG4" s="17" t="str">
        <f t="shared" ca="1" si="1"/>
        <v/>
      </c>
      <c r="CH4" s="17" t="str">
        <f t="shared" ca="1" si="1"/>
        <v/>
      </c>
      <c r="CI4" s="17" t="str">
        <f t="shared" ca="1" si="1"/>
        <v/>
      </c>
      <c r="CJ4" s="17" t="str">
        <f t="shared" ca="1" si="1"/>
        <v/>
      </c>
      <c r="CK4" s="17" t="str">
        <f t="shared" ca="1" si="1"/>
        <v/>
      </c>
      <c r="CL4" s="17" t="str">
        <f t="shared" ca="1" si="1"/>
        <v/>
      </c>
      <c r="CM4" s="17" t="str">
        <f t="shared" ca="1" si="1"/>
        <v/>
      </c>
      <c r="CN4" s="17" t="str">
        <f t="shared" ca="1" si="1"/>
        <v/>
      </c>
      <c r="CO4" s="17">
        <f t="shared" ca="1" si="1"/>
        <v>10</v>
      </c>
      <c r="CP4" s="17" t="str">
        <f t="shared" ca="1" si="1"/>
        <v/>
      </c>
      <c r="CQ4" s="17" t="str">
        <f t="shared" ca="1" si="1"/>
        <v/>
      </c>
      <c r="CR4" s="17" t="str">
        <f t="shared" ca="1" si="1"/>
        <v/>
      </c>
      <c r="CS4" s="17" t="str">
        <f t="shared" ca="1" si="1"/>
        <v/>
      </c>
      <c r="CT4" s="17" t="str">
        <f t="shared" ca="1" si="1"/>
        <v/>
      </c>
      <c r="CU4" s="17" t="str">
        <f t="shared" ca="1" si="1"/>
        <v/>
      </c>
      <c r="CV4" s="17" t="str">
        <f t="shared" ca="1" si="1"/>
        <v/>
      </c>
      <c r="CW4" s="17" t="str">
        <f t="shared" ca="1" si="1"/>
        <v/>
      </c>
      <c r="CX4" s="17" t="str">
        <f t="shared" ca="1" si="1"/>
        <v/>
      </c>
      <c r="CY4" s="18" t="str">
        <f t="shared" ca="1" si="1"/>
        <v/>
      </c>
    </row>
    <row r="5" spans="1:103" x14ac:dyDescent="0.25">
      <c r="B5" s="6"/>
      <c r="C5" s="6"/>
      <c r="D5" s="6"/>
      <c r="E5" s="6"/>
      <c r="F5" s="6"/>
      <c r="G5" s="6"/>
      <c r="H5" s="6"/>
      <c r="I5" s="6"/>
      <c r="J5" s="6"/>
      <c r="K5" s="6"/>
      <c r="L5" s="6"/>
      <c r="N5" s="26">
        <f ca="1">N2-N3</f>
        <v>45487</v>
      </c>
      <c r="O5" s="27">
        <f ca="1">N5+1</f>
        <v>45488</v>
      </c>
      <c r="P5" s="27">
        <f t="shared" ref="P5:CA5" ca="1" si="2">O5+1</f>
        <v>45489</v>
      </c>
      <c r="Q5" s="27">
        <f t="shared" ca="1" si="2"/>
        <v>45490</v>
      </c>
      <c r="R5" s="27">
        <f t="shared" ca="1" si="2"/>
        <v>45491</v>
      </c>
      <c r="S5" s="27">
        <f t="shared" ca="1" si="2"/>
        <v>45492</v>
      </c>
      <c r="T5" s="27">
        <f t="shared" ca="1" si="2"/>
        <v>45493</v>
      </c>
      <c r="U5" s="27">
        <f t="shared" ca="1" si="2"/>
        <v>45494</v>
      </c>
      <c r="V5" s="27">
        <f t="shared" ca="1" si="2"/>
        <v>45495</v>
      </c>
      <c r="W5" s="27">
        <f t="shared" ca="1" si="2"/>
        <v>45496</v>
      </c>
      <c r="X5" s="27">
        <f t="shared" ca="1" si="2"/>
        <v>45497</v>
      </c>
      <c r="Y5" s="27">
        <f t="shared" ca="1" si="2"/>
        <v>45498</v>
      </c>
      <c r="Z5" s="27">
        <f t="shared" ca="1" si="2"/>
        <v>45499</v>
      </c>
      <c r="AA5" s="27">
        <f t="shared" ca="1" si="2"/>
        <v>45500</v>
      </c>
      <c r="AB5" s="27">
        <f t="shared" ca="1" si="2"/>
        <v>45501</v>
      </c>
      <c r="AC5" s="27">
        <f t="shared" ca="1" si="2"/>
        <v>45502</v>
      </c>
      <c r="AD5" s="27">
        <f t="shared" ca="1" si="2"/>
        <v>45503</v>
      </c>
      <c r="AE5" s="27">
        <f t="shared" ca="1" si="2"/>
        <v>45504</v>
      </c>
      <c r="AF5" s="27">
        <f t="shared" ca="1" si="2"/>
        <v>45505</v>
      </c>
      <c r="AG5" s="27">
        <f t="shared" ca="1" si="2"/>
        <v>45506</v>
      </c>
      <c r="AH5" s="27">
        <f t="shared" ca="1" si="2"/>
        <v>45507</v>
      </c>
      <c r="AI5" s="27">
        <f t="shared" ca="1" si="2"/>
        <v>45508</v>
      </c>
      <c r="AJ5" s="27">
        <f t="shared" ca="1" si="2"/>
        <v>45509</v>
      </c>
      <c r="AK5" s="27">
        <f t="shared" ca="1" si="2"/>
        <v>45510</v>
      </c>
      <c r="AL5" s="27">
        <f t="shared" ca="1" si="2"/>
        <v>45511</v>
      </c>
      <c r="AM5" s="27">
        <f t="shared" ca="1" si="2"/>
        <v>45512</v>
      </c>
      <c r="AN5" s="27">
        <f t="shared" ca="1" si="2"/>
        <v>45513</v>
      </c>
      <c r="AO5" s="27">
        <f t="shared" ca="1" si="2"/>
        <v>45514</v>
      </c>
      <c r="AP5" s="27">
        <f t="shared" ca="1" si="2"/>
        <v>45515</v>
      </c>
      <c r="AQ5" s="27">
        <f t="shared" ca="1" si="2"/>
        <v>45516</v>
      </c>
      <c r="AR5" s="27">
        <f t="shared" ca="1" si="2"/>
        <v>45517</v>
      </c>
      <c r="AS5" s="27">
        <f t="shared" ca="1" si="2"/>
        <v>45518</v>
      </c>
      <c r="AT5" s="27">
        <f t="shared" ca="1" si="2"/>
        <v>45519</v>
      </c>
      <c r="AU5" s="27">
        <f t="shared" ca="1" si="2"/>
        <v>45520</v>
      </c>
      <c r="AV5" s="27">
        <f t="shared" ca="1" si="2"/>
        <v>45521</v>
      </c>
      <c r="AW5" s="27">
        <f t="shared" ca="1" si="2"/>
        <v>45522</v>
      </c>
      <c r="AX5" s="27">
        <f t="shared" ca="1" si="2"/>
        <v>45523</v>
      </c>
      <c r="AY5" s="27">
        <f t="shared" ca="1" si="2"/>
        <v>45524</v>
      </c>
      <c r="AZ5" s="27">
        <f t="shared" ca="1" si="2"/>
        <v>45525</v>
      </c>
      <c r="BA5" s="27">
        <f t="shared" ca="1" si="2"/>
        <v>45526</v>
      </c>
      <c r="BB5" s="27">
        <f t="shared" ca="1" si="2"/>
        <v>45527</v>
      </c>
      <c r="BC5" s="27">
        <f t="shared" ca="1" si="2"/>
        <v>45528</v>
      </c>
      <c r="BD5" s="27">
        <f t="shared" ca="1" si="2"/>
        <v>45529</v>
      </c>
      <c r="BE5" s="27">
        <f t="shared" ca="1" si="2"/>
        <v>45530</v>
      </c>
      <c r="BF5" s="27">
        <f t="shared" ca="1" si="2"/>
        <v>45531</v>
      </c>
      <c r="BG5" s="27">
        <f t="shared" ca="1" si="2"/>
        <v>45532</v>
      </c>
      <c r="BH5" s="27">
        <f t="shared" ca="1" si="2"/>
        <v>45533</v>
      </c>
      <c r="BI5" s="27">
        <f t="shared" ca="1" si="2"/>
        <v>45534</v>
      </c>
      <c r="BJ5" s="27">
        <f t="shared" ca="1" si="2"/>
        <v>45535</v>
      </c>
      <c r="BK5" s="27">
        <f t="shared" ca="1" si="2"/>
        <v>45536</v>
      </c>
      <c r="BL5" s="27">
        <f t="shared" ca="1" si="2"/>
        <v>45537</v>
      </c>
      <c r="BM5" s="27">
        <f t="shared" ca="1" si="2"/>
        <v>45538</v>
      </c>
      <c r="BN5" s="27">
        <f t="shared" ca="1" si="2"/>
        <v>45539</v>
      </c>
      <c r="BO5" s="27">
        <f t="shared" ca="1" si="2"/>
        <v>45540</v>
      </c>
      <c r="BP5" s="27">
        <f t="shared" ca="1" si="2"/>
        <v>45541</v>
      </c>
      <c r="BQ5" s="27">
        <f t="shared" ca="1" si="2"/>
        <v>45542</v>
      </c>
      <c r="BR5" s="27">
        <f t="shared" ca="1" si="2"/>
        <v>45543</v>
      </c>
      <c r="BS5" s="27">
        <f t="shared" ca="1" si="2"/>
        <v>45544</v>
      </c>
      <c r="BT5" s="27">
        <f t="shared" ca="1" si="2"/>
        <v>45545</v>
      </c>
      <c r="BU5" s="27">
        <f t="shared" ca="1" si="2"/>
        <v>45546</v>
      </c>
      <c r="BV5" s="27">
        <f t="shared" ca="1" si="2"/>
        <v>45547</v>
      </c>
      <c r="BW5" s="27">
        <f t="shared" ca="1" si="2"/>
        <v>45548</v>
      </c>
      <c r="BX5" s="27">
        <f t="shared" ca="1" si="2"/>
        <v>45549</v>
      </c>
      <c r="BY5" s="27">
        <f t="shared" ca="1" si="2"/>
        <v>45550</v>
      </c>
      <c r="BZ5" s="27">
        <f t="shared" ca="1" si="2"/>
        <v>45551</v>
      </c>
      <c r="CA5" s="27">
        <f t="shared" ca="1" si="2"/>
        <v>45552</v>
      </c>
      <c r="CB5" s="27">
        <f t="shared" ref="CB5:CY5" ca="1" si="3">CA5+1</f>
        <v>45553</v>
      </c>
      <c r="CC5" s="27">
        <f t="shared" ca="1" si="3"/>
        <v>45554</v>
      </c>
      <c r="CD5" s="27">
        <f t="shared" ca="1" si="3"/>
        <v>45555</v>
      </c>
      <c r="CE5" s="27">
        <f t="shared" ca="1" si="3"/>
        <v>45556</v>
      </c>
      <c r="CF5" s="27">
        <f t="shared" ca="1" si="3"/>
        <v>45557</v>
      </c>
      <c r="CG5" s="27">
        <f t="shared" ca="1" si="3"/>
        <v>45558</v>
      </c>
      <c r="CH5" s="27">
        <f t="shared" ca="1" si="3"/>
        <v>45559</v>
      </c>
      <c r="CI5" s="27">
        <f t="shared" ca="1" si="3"/>
        <v>45560</v>
      </c>
      <c r="CJ5" s="27">
        <f t="shared" ca="1" si="3"/>
        <v>45561</v>
      </c>
      <c r="CK5" s="27">
        <f t="shared" ca="1" si="3"/>
        <v>45562</v>
      </c>
      <c r="CL5" s="27">
        <f t="shared" ca="1" si="3"/>
        <v>45563</v>
      </c>
      <c r="CM5" s="27">
        <f t="shared" ca="1" si="3"/>
        <v>45564</v>
      </c>
      <c r="CN5" s="27">
        <f t="shared" ca="1" si="3"/>
        <v>45565</v>
      </c>
      <c r="CO5" s="27">
        <f t="shared" ca="1" si="3"/>
        <v>45566</v>
      </c>
      <c r="CP5" s="27">
        <f t="shared" ca="1" si="3"/>
        <v>45567</v>
      </c>
      <c r="CQ5" s="27">
        <f t="shared" ca="1" si="3"/>
        <v>45568</v>
      </c>
      <c r="CR5" s="27">
        <f t="shared" ca="1" si="3"/>
        <v>45569</v>
      </c>
      <c r="CS5" s="27">
        <f t="shared" ca="1" si="3"/>
        <v>45570</v>
      </c>
      <c r="CT5" s="27">
        <f t="shared" ca="1" si="3"/>
        <v>45571</v>
      </c>
      <c r="CU5" s="27">
        <f t="shared" ca="1" si="3"/>
        <v>45572</v>
      </c>
      <c r="CV5" s="27">
        <f t="shared" ca="1" si="3"/>
        <v>45573</v>
      </c>
      <c r="CW5" s="27">
        <f t="shared" ca="1" si="3"/>
        <v>45574</v>
      </c>
      <c r="CX5" s="27">
        <f t="shared" ca="1" si="3"/>
        <v>45575</v>
      </c>
      <c r="CY5" s="28">
        <f t="shared" ca="1" si="3"/>
        <v>45576</v>
      </c>
    </row>
    <row r="6" spans="1:103" x14ac:dyDescent="0.25">
      <c r="B6" s="5"/>
      <c r="C6" s="5"/>
      <c r="D6" s="5"/>
      <c r="E6" s="5"/>
      <c r="F6" s="21"/>
      <c r="G6" s="21"/>
      <c r="H6" s="21"/>
      <c r="I6" s="5"/>
      <c r="J6" s="5"/>
      <c r="K6" s="5"/>
      <c r="L6" s="5"/>
      <c r="N6" s="13" t="str">
        <f ca="1">TEXT(WEEKDAY(N5), "aaa")</f>
        <v>日</v>
      </c>
      <c r="O6" s="14" t="str">
        <f ca="1">TEXT(WEEKDAY(O5), "aaa")</f>
        <v>月</v>
      </c>
      <c r="P6" s="14" t="str">
        <f t="shared" ref="P6:CA6" ca="1" si="4">TEXT(WEEKDAY(P5), "aaa")</f>
        <v>火</v>
      </c>
      <c r="Q6" s="14" t="str">
        <f t="shared" ca="1" si="4"/>
        <v>水</v>
      </c>
      <c r="R6" s="14" t="str">
        <f t="shared" ca="1" si="4"/>
        <v>木</v>
      </c>
      <c r="S6" s="14" t="str">
        <f t="shared" ca="1" si="4"/>
        <v>金</v>
      </c>
      <c r="T6" s="14" t="str">
        <f t="shared" ca="1" si="4"/>
        <v>土</v>
      </c>
      <c r="U6" s="14" t="str">
        <f t="shared" ca="1" si="4"/>
        <v>日</v>
      </c>
      <c r="V6" s="14" t="str">
        <f t="shared" ca="1" si="4"/>
        <v>月</v>
      </c>
      <c r="W6" s="14" t="str">
        <f t="shared" ca="1" si="4"/>
        <v>火</v>
      </c>
      <c r="X6" s="14" t="str">
        <f t="shared" ca="1" si="4"/>
        <v>水</v>
      </c>
      <c r="Y6" s="14" t="str">
        <f t="shared" ca="1" si="4"/>
        <v>木</v>
      </c>
      <c r="Z6" s="14" t="str">
        <f t="shared" ca="1" si="4"/>
        <v>金</v>
      </c>
      <c r="AA6" s="14" t="str">
        <f t="shared" ca="1" si="4"/>
        <v>土</v>
      </c>
      <c r="AB6" s="14" t="str">
        <f t="shared" ca="1" si="4"/>
        <v>日</v>
      </c>
      <c r="AC6" s="14" t="str">
        <f t="shared" ca="1" si="4"/>
        <v>月</v>
      </c>
      <c r="AD6" s="14" t="str">
        <f t="shared" ca="1" si="4"/>
        <v>火</v>
      </c>
      <c r="AE6" s="14" t="str">
        <f t="shared" ca="1" si="4"/>
        <v>水</v>
      </c>
      <c r="AF6" s="14" t="str">
        <f t="shared" ca="1" si="4"/>
        <v>木</v>
      </c>
      <c r="AG6" s="14" t="str">
        <f t="shared" ca="1" si="4"/>
        <v>金</v>
      </c>
      <c r="AH6" s="14" t="str">
        <f t="shared" ca="1" si="4"/>
        <v>土</v>
      </c>
      <c r="AI6" s="14" t="str">
        <f t="shared" ca="1" si="4"/>
        <v>日</v>
      </c>
      <c r="AJ6" s="14" t="str">
        <f t="shared" ca="1" si="4"/>
        <v>月</v>
      </c>
      <c r="AK6" s="14" t="str">
        <f t="shared" ca="1" si="4"/>
        <v>火</v>
      </c>
      <c r="AL6" s="14" t="str">
        <f t="shared" ca="1" si="4"/>
        <v>水</v>
      </c>
      <c r="AM6" s="14" t="str">
        <f t="shared" ca="1" si="4"/>
        <v>木</v>
      </c>
      <c r="AN6" s="14" t="str">
        <f t="shared" ca="1" si="4"/>
        <v>金</v>
      </c>
      <c r="AO6" s="14" t="str">
        <f t="shared" ca="1" si="4"/>
        <v>土</v>
      </c>
      <c r="AP6" s="14" t="str">
        <f t="shared" ca="1" si="4"/>
        <v>日</v>
      </c>
      <c r="AQ6" s="14" t="str">
        <f t="shared" ca="1" si="4"/>
        <v>月</v>
      </c>
      <c r="AR6" s="14" t="str">
        <f t="shared" ca="1" si="4"/>
        <v>火</v>
      </c>
      <c r="AS6" s="14" t="str">
        <f t="shared" ca="1" si="4"/>
        <v>水</v>
      </c>
      <c r="AT6" s="14" t="str">
        <f t="shared" ca="1" si="4"/>
        <v>木</v>
      </c>
      <c r="AU6" s="14" t="str">
        <f t="shared" ca="1" si="4"/>
        <v>金</v>
      </c>
      <c r="AV6" s="14" t="str">
        <f t="shared" ca="1" si="4"/>
        <v>土</v>
      </c>
      <c r="AW6" s="14" t="str">
        <f t="shared" ca="1" si="4"/>
        <v>日</v>
      </c>
      <c r="AX6" s="14" t="str">
        <f t="shared" ca="1" si="4"/>
        <v>月</v>
      </c>
      <c r="AY6" s="14" t="str">
        <f t="shared" ca="1" si="4"/>
        <v>火</v>
      </c>
      <c r="AZ6" s="14" t="str">
        <f t="shared" ca="1" si="4"/>
        <v>水</v>
      </c>
      <c r="BA6" s="14" t="str">
        <f t="shared" ca="1" si="4"/>
        <v>木</v>
      </c>
      <c r="BB6" s="14" t="str">
        <f t="shared" ca="1" si="4"/>
        <v>金</v>
      </c>
      <c r="BC6" s="14" t="str">
        <f t="shared" ca="1" si="4"/>
        <v>土</v>
      </c>
      <c r="BD6" s="14" t="str">
        <f t="shared" ca="1" si="4"/>
        <v>日</v>
      </c>
      <c r="BE6" s="14" t="str">
        <f t="shared" ca="1" si="4"/>
        <v>月</v>
      </c>
      <c r="BF6" s="14" t="str">
        <f t="shared" ca="1" si="4"/>
        <v>火</v>
      </c>
      <c r="BG6" s="14" t="str">
        <f t="shared" ca="1" si="4"/>
        <v>水</v>
      </c>
      <c r="BH6" s="14" t="str">
        <f t="shared" ca="1" si="4"/>
        <v>木</v>
      </c>
      <c r="BI6" s="14" t="str">
        <f t="shared" ca="1" si="4"/>
        <v>金</v>
      </c>
      <c r="BJ6" s="14" t="str">
        <f t="shared" ca="1" si="4"/>
        <v>土</v>
      </c>
      <c r="BK6" s="14" t="str">
        <f t="shared" ca="1" si="4"/>
        <v>日</v>
      </c>
      <c r="BL6" s="14" t="str">
        <f t="shared" ca="1" si="4"/>
        <v>月</v>
      </c>
      <c r="BM6" s="14" t="str">
        <f t="shared" ca="1" si="4"/>
        <v>火</v>
      </c>
      <c r="BN6" s="14" t="str">
        <f t="shared" ca="1" si="4"/>
        <v>水</v>
      </c>
      <c r="BO6" s="14" t="str">
        <f t="shared" ca="1" si="4"/>
        <v>木</v>
      </c>
      <c r="BP6" s="14" t="str">
        <f t="shared" ca="1" si="4"/>
        <v>金</v>
      </c>
      <c r="BQ6" s="14" t="str">
        <f t="shared" ca="1" si="4"/>
        <v>土</v>
      </c>
      <c r="BR6" s="14" t="str">
        <f t="shared" ca="1" si="4"/>
        <v>日</v>
      </c>
      <c r="BS6" s="14" t="str">
        <f t="shared" ca="1" si="4"/>
        <v>月</v>
      </c>
      <c r="BT6" s="14" t="str">
        <f t="shared" ca="1" si="4"/>
        <v>火</v>
      </c>
      <c r="BU6" s="14" t="str">
        <f t="shared" ca="1" si="4"/>
        <v>水</v>
      </c>
      <c r="BV6" s="14" t="str">
        <f t="shared" ca="1" si="4"/>
        <v>木</v>
      </c>
      <c r="BW6" s="14" t="str">
        <f t="shared" ca="1" si="4"/>
        <v>金</v>
      </c>
      <c r="BX6" s="14" t="str">
        <f t="shared" ca="1" si="4"/>
        <v>土</v>
      </c>
      <c r="BY6" s="14" t="str">
        <f t="shared" ca="1" si="4"/>
        <v>日</v>
      </c>
      <c r="BZ6" s="14" t="str">
        <f t="shared" ca="1" si="4"/>
        <v>月</v>
      </c>
      <c r="CA6" s="14" t="str">
        <f t="shared" ca="1" si="4"/>
        <v>火</v>
      </c>
      <c r="CB6" s="14" t="str">
        <f t="shared" ref="CB6:CY6" ca="1" si="5">TEXT(WEEKDAY(CB5), "aaa")</f>
        <v>水</v>
      </c>
      <c r="CC6" s="14" t="str">
        <f t="shared" ca="1" si="5"/>
        <v>木</v>
      </c>
      <c r="CD6" s="14" t="str">
        <f t="shared" ca="1" si="5"/>
        <v>金</v>
      </c>
      <c r="CE6" s="14" t="str">
        <f t="shared" ca="1" si="5"/>
        <v>土</v>
      </c>
      <c r="CF6" s="14" t="str">
        <f t="shared" ca="1" si="5"/>
        <v>日</v>
      </c>
      <c r="CG6" s="14" t="str">
        <f t="shared" ca="1" si="5"/>
        <v>月</v>
      </c>
      <c r="CH6" s="14" t="str">
        <f t="shared" ca="1" si="5"/>
        <v>火</v>
      </c>
      <c r="CI6" s="14" t="str">
        <f t="shared" ca="1" si="5"/>
        <v>水</v>
      </c>
      <c r="CJ6" s="14" t="str">
        <f t="shared" ca="1" si="5"/>
        <v>木</v>
      </c>
      <c r="CK6" s="14" t="str">
        <f t="shared" ca="1" si="5"/>
        <v>金</v>
      </c>
      <c r="CL6" s="14" t="str">
        <f t="shared" ca="1" si="5"/>
        <v>土</v>
      </c>
      <c r="CM6" s="14" t="str">
        <f t="shared" ca="1" si="5"/>
        <v>日</v>
      </c>
      <c r="CN6" s="14" t="str">
        <f t="shared" ca="1" si="5"/>
        <v>月</v>
      </c>
      <c r="CO6" s="14" t="str">
        <f t="shared" ca="1" si="5"/>
        <v>火</v>
      </c>
      <c r="CP6" s="14" t="str">
        <f t="shared" ca="1" si="5"/>
        <v>水</v>
      </c>
      <c r="CQ6" s="14" t="str">
        <f t="shared" ca="1" si="5"/>
        <v>木</v>
      </c>
      <c r="CR6" s="14" t="str">
        <f t="shared" ca="1" si="5"/>
        <v>金</v>
      </c>
      <c r="CS6" s="14" t="str">
        <f t="shared" ca="1" si="5"/>
        <v>土</v>
      </c>
      <c r="CT6" s="14" t="str">
        <f t="shared" ca="1" si="5"/>
        <v>日</v>
      </c>
      <c r="CU6" s="14" t="str">
        <f t="shared" ca="1" si="5"/>
        <v>月</v>
      </c>
      <c r="CV6" s="14" t="str">
        <f t="shared" ca="1" si="5"/>
        <v>火</v>
      </c>
      <c r="CW6" s="14" t="str">
        <f t="shared" ca="1" si="5"/>
        <v>水</v>
      </c>
      <c r="CX6" s="14" t="str">
        <f t="shared" ca="1" si="5"/>
        <v>木</v>
      </c>
      <c r="CY6" s="15" t="str">
        <f t="shared" ca="1" si="5"/>
        <v>金</v>
      </c>
    </row>
    <row r="7" spans="1:103" x14ac:dyDescent="0.25">
      <c r="B7" s="12">
        <v>1</v>
      </c>
      <c r="C7" s="3"/>
      <c r="D7" s="3"/>
      <c r="E7" s="3"/>
      <c r="F7" s="12"/>
      <c r="G7" s="12"/>
      <c r="H7" s="22"/>
      <c r="I7" s="19"/>
      <c r="J7" s="19"/>
      <c r="K7" s="29">
        <f>NETWORKDAYS(I7,J7,設定!$K$4:$K$33)</f>
        <v>0</v>
      </c>
      <c r="L7" s="3"/>
      <c r="N7" s="9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24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24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1"/>
    </row>
    <row r="8" spans="1:103" x14ac:dyDescent="0.25">
      <c r="B8" s="12">
        <v>2</v>
      </c>
      <c r="C8" s="3"/>
      <c r="D8" s="3"/>
      <c r="E8" s="3"/>
      <c r="F8" s="12"/>
      <c r="G8" s="12"/>
      <c r="H8" s="22"/>
      <c r="I8" s="19"/>
      <c r="J8" s="19"/>
      <c r="K8" s="29">
        <f>NETWORKDAYS(I8,J8,設定!$K$4:$K$33)</f>
        <v>0</v>
      </c>
      <c r="L8" s="3"/>
      <c r="N8" s="9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24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24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1"/>
    </row>
    <row r="9" spans="1:103" x14ac:dyDescent="0.25">
      <c r="B9" s="12">
        <v>3</v>
      </c>
      <c r="C9" s="3"/>
      <c r="D9" s="3"/>
      <c r="E9" s="3"/>
      <c r="F9" s="12"/>
      <c r="G9" s="12"/>
      <c r="H9" s="22"/>
      <c r="I9" s="19"/>
      <c r="J9" s="19"/>
      <c r="K9" s="29">
        <f>NETWORKDAYS(I9,J9,設定!$K$4:$K$33)</f>
        <v>0</v>
      </c>
      <c r="L9" s="3"/>
      <c r="N9" s="9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24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24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1"/>
    </row>
    <row r="10" spans="1:103" x14ac:dyDescent="0.25">
      <c r="B10" s="12">
        <v>4</v>
      </c>
      <c r="C10" s="3"/>
      <c r="D10" s="3"/>
      <c r="E10" s="3"/>
      <c r="F10" s="12"/>
      <c r="G10" s="12"/>
      <c r="H10" s="22"/>
      <c r="I10" s="19"/>
      <c r="J10" s="19"/>
      <c r="K10" s="29">
        <f>NETWORKDAYS(I10,J10,設定!$K$4:$K$33)</f>
        <v>0</v>
      </c>
      <c r="L10" s="3"/>
      <c r="N10" s="9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24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24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1"/>
    </row>
    <row r="11" spans="1:103" x14ac:dyDescent="0.25">
      <c r="B11" s="12">
        <v>5</v>
      </c>
      <c r="C11" s="3"/>
      <c r="D11" s="3"/>
      <c r="E11" s="3"/>
      <c r="F11" s="12"/>
      <c r="G11" s="12"/>
      <c r="H11" s="22"/>
      <c r="I11" s="19"/>
      <c r="J11" s="19"/>
      <c r="K11" s="29">
        <f>NETWORKDAYS(I11,J11,設定!$K$4:$K$33)</f>
        <v>0</v>
      </c>
      <c r="L11" s="3"/>
      <c r="N11" s="9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24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24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1"/>
    </row>
    <row r="12" spans="1:103" x14ac:dyDescent="0.25">
      <c r="B12" s="12">
        <v>6</v>
      </c>
      <c r="C12" s="3"/>
      <c r="D12" s="3"/>
      <c r="E12" s="3"/>
      <c r="F12" s="12"/>
      <c r="G12" s="12"/>
      <c r="H12" s="22"/>
      <c r="I12" s="19"/>
      <c r="J12" s="19"/>
      <c r="K12" s="29">
        <f>NETWORKDAYS(I12,J12,設定!$K$4:$K$33)</f>
        <v>0</v>
      </c>
      <c r="L12" s="3"/>
      <c r="N12" s="9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24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24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1"/>
    </row>
    <row r="13" spans="1:103" x14ac:dyDescent="0.25">
      <c r="B13" s="12">
        <v>7</v>
      </c>
      <c r="C13" s="3"/>
      <c r="D13" s="3"/>
      <c r="E13" s="3"/>
      <c r="F13" s="12"/>
      <c r="G13" s="12"/>
      <c r="H13" s="22"/>
      <c r="I13" s="19"/>
      <c r="J13" s="19"/>
      <c r="K13" s="29">
        <f>NETWORKDAYS(I13,J13,設定!$K$4:$K$33)</f>
        <v>0</v>
      </c>
      <c r="L13" s="3"/>
      <c r="N13" s="9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24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24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1"/>
    </row>
    <row r="14" spans="1:103" x14ac:dyDescent="0.25">
      <c r="B14" s="12">
        <v>8</v>
      </c>
      <c r="C14" s="3"/>
      <c r="D14" s="3"/>
      <c r="E14" s="3"/>
      <c r="F14" s="12"/>
      <c r="G14" s="12"/>
      <c r="H14" s="22"/>
      <c r="I14" s="19"/>
      <c r="J14" s="19"/>
      <c r="K14" s="29">
        <f>NETWORKDAYS(I14,J14,設定!$K$4:$K$33)</f>
        <v>0</v>
      </c>
      <c r="L14" s="3"/>
      <c r="N14" s="9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24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24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1"/>
    </row>
    <row r="15" spans="1:103" x14ac:dyDescent="0.25">
      <c r="B15" s="12">
        <v>9</v>
      </c>
      <c r="C15" s="3"/>
      <c r="D15" s="3"/>
      <c r="E15" s="3"/>
      <c r="F15" s="12"/>
      <c r="G15" s="12"/>
      <c r="H15" s="22"/>
      <c r="I15" s="19"/>
      <c r="J15" s="19"/>
      <c r="K15" s="29">
        <f>NETWORKDAYS(I15,J15,設定!$K$4:$K$33)</f>
        <v>0</v>
      </c>
      <c r="L15" s="3"/>
      <c r="N15" s="9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24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24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1"/>
    </row>
    <row r="16" spans="1:103" x14ac:dyDescent="0.25">
      <c r="B16" s="12">
        <v>10</v>
      </c>
      <c r="C16" s="3"/>
      <c r="D16" s="3"/>
      <c r="E16" s="3"/>
      <c r="F16" s="12"/>
      <c r="G16" s="12"/>
      <c r="H16" s="22"/>
      <c r="I16" s="19"/>
      <c r="J16" s="19"/>
      <c r="K16" s="29">
        <f>NETWORKDAYS(I16,J16,設定!$K$4:$K$33)</f>
        <v>0</v>
      </c>
      <c r="L16" s="3"/>
      <c r="N16" s="9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24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24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1"/>
    </row>
    <row r="17" spans="73:73" x14ac:dyDescent="0.25">
      <c r="BU17" s="25"/>
    </row>
    <row r="18" spans="73:73" x14ac:dyDescent="0.25">
      <c r="BU18" s="25"/>
    </row>
    <row r="19" spans="73:73" x14ac:dyDescent="0.25">
      <c r="BU19" s="25"/>
    </row>
    <row r="20" spans="73:73" x14ac:dyDescent="0.25">
      <c r="BU20" s="25"/>
    </row>
    <row r="21" spans="73:73" x14ac:dyDescent="0.25">
      <c r="BU21" s="25"/>
    </row>
    <row r="22" spans="73:73" x14ac:dyDescent="0.25">
      <c r="BU22" s="25"/>
    </row>
    <row r="23" spans="73:73" x14ac:dyDescent="0.25">
      <c r="BU23" s="25"/>
    </row>
    <row r="24" spans="73:73" x14ac:dyDescent="0.25">
      <c r="BU24" s="25"/>
    </row>
    <row r="25" spans="73:73" x14ac:dyDescent="0.25">
      <c r="BU25" s="25"/>
    </row>
    <row r="26" spans="73:73" x14ac:dyDescent="0.25">
      <c r="BU26" s="25"/>
    </row>
    <row r="27" spans="73:73" x14ac:dyDescent="0.25">
      <c r="BU27" s="25"/>
    </row>
    <row r="28" spans="73:73" x14ac:dyDescent="0.25">
      <c r="BU28" s="25"/>
    </row>
    <row r="29" spans="73:73" x14ac:dyDescent="0.25">
      <c r="BU29" s="25"/>
    </row>
    <row r="30" spans="73:73" x14ac:dyDescent="0.25">
      <c r="BU30" s="25"/>
    </row>
    <row r="31" spans="73:73" x14ac:dyDescent="0.25">
      <c r="BU31" s="25"/>
    </row>
    <row r="32" spans="73:73" x14ac:dyDescent="0.25">
      <c r="BU32" s="25"/>
    </row>
    <row r="33" spans="73:73" x14ac:dyDescent="0.25">
      <c r="BU33" s="25"/>
    </row>
    <row r="34" spans="73:73" x14ac:dyDescent="0.25">
      <c r="BU34" s="25"/>
    </row>
    <row r="35" spans="73:73" x14ac:dyDescent="0.25">
      <c r="BU35" s="25"/>
    </row>
    <row r="36" spans="73:73" x14ac:dyDescent="0.25">
      <c r="BU36" s="25"/>
    </row>
    <row r="37" spans="73:73" x14ac:dyDescent="0.25">
      <c r="BU37" s="25"/>
    </row>
    <row r="38" spans="73:73" x14ac:dyDescent="0.25">
      <c r="BU38" s="25"/>
    </row>
    <row r="39" spans="73:73" x14ac:dyDescent="0.25">
      <c r="BU39" s="25"/>
    </row>
    <row r="40" spans="73:73" x14ac:dyDescent="0.25">
      <c r="BU40" s="25"/>
    </row>
    <row r="41" spans="73:73" x14ac:dyDescent="0.25">
      <c r="BU41" s="25"/>
    </row>
    <row r="42" spans="73:73" x14ac:dyDescent="0.25">
      <c r="BU42" s="25"/>
    </row>
    <row r="43" spans="73:73" x14ac:dyDescent="0.25">
      <c r="BU43" s="25"/>
    </row>
    <row r="44" spans="73:73" x14ac:dyDescent="0.25">
      <c r="BU44" s="25"/>
    </row>
    <row r="45" spans="73:73" x14ac:dyDescent="0.25">
      <c r="BU45" s="25"/>
    </row>
    <row r="46" spans="73:73" x14ac:dyDescent="0.25">
      <c r="BU46" s="25"/>
    </row>
    <row r="47" spans="73:73" x14ac:dyDescent="0.25">
      <c r="BU47" s="25"/>
    </row>
    <row r="48" spans="73:73" x14ac:dyDescent="0.25">
      <c r="BU48" s="25"/>
    </row>
    <row r="49" spans="73:73" x14ac:dyDescent="0.25">
      <c r="BU49" s="25"/>
    </row>
    <row r="50" spans="73:73" x14ac:dyDescent="0.25">
      <c r="BU50" s="25"/>
    </row>
    <row r="51" spans="73:73" x14ac:dyDescent="0.25">
      <c r="BU51" s="25"/>
    </row>
    <row r="52" spans="73:73" x14ac:dyDescent="0.25">
      <c r="BU52" s="25"/>
    </row>
    <row r="53" spans="73:73" x14ac:dyDescent="0.25">
      <c r="BU53" s="25"/>
    </row>
    <row r="54" spans="73:73" x14ac:dyDescent="0.25">
      <c r="BU54" s="25"/>
    </row>
    <row r="55" spans="73:73" x14ac:dyDescent="0.25">
      <c r="BU55" s="25"/>
    </row>
    <row r="56" spans="73:73" x14ac:dyDescent="0.25">
      <c r="BU56" s="25"/>
    </row>
    <row r="57" spans="73:73" x14ac:dyDescent="0.25">
      <c r="BU57" s="25"/>
    </row>
    <row r="58" spans="73:73" x14ac:dyDescent="0.25">
      <c r="BU58" s="25"/>
    </row>
    <row r="59" spans="73:73" x14ac:dyDescent="0.25">
      <c r="BU59" s="25"/>
    </row>
    <row r="60" spans="73:73" x14ac:dyDescent="0.25">
      <c r="BU60" s="25"/>
    </row>
    <row r="61" spans="73:73" x14ac:dyDescent="0.25">
      <c r="BU61" s="25"/>
    </row>
    <row r="62" spans="73:73" x14ac:dyDescent="0.25">
      <c r="BU62" s="25"/>
    </row>
    <row r="63" spans="73:73" x14ac:dyDescent="0.25">
      <c r="BU63" s="25"/>
    </row>
    <row r="64" spans="73:73" x14ac:dyDescent="0.25">
      <c r="BU64" s="25"/>
    </row>
    <row r="65" spans="73:73" x14ac:dyDescent="0.25">
      <c r="BU65" s="25"/>
    </row>
    <row r="66" spans="73:73" x14ac:dyDescent="0.25">
      <c r="BU66" s="25"/>
    </row>
    <row r="67" spans="73:73" x14ac:dyDescent="0.25">
      <c r="BU67" s="25"/>
    </row>
    <row r="68" spans="73:73" x14ac:dyDescent="0.25">
      <c r="BU68" s="25"/>
    </row>
    <row r="69" spans="73:73" x14ac:dyDescent="0.25">
      <c r="BU69" s="25"/>
    </row>
    <row r="70" spans="73:73" x14ac:dyDescent="0.25">
      <c r="BU70" s="25"/>
    </row>
    <row r="71" spans="73:73" x14ac:dyDescent="0.25">
      <c r="BU71" s="25"/>
    </row>
    <row r="72" spans="73:73" x14ac:dyDescent="0.25">
      <c r="BU72" s="25"/>
    </row>
    <row r="73" spans="73:73" x14ac:dyDescent="0.25">
      <c r="BU73" s="25"/>
    </row>
  </sheetData>
  <autoFilter ref="B6:L16" xr:uid="{9E39E5F5-C402-4FDA-B16C-82B9BE0B29C3}"/>
  <sortState xmlns:xlrd2="http://schemas.microsoft.com/office/spreadsheetml/2017/richdata2" ref="C7:L16">
    <sortCondition ref="C7:C16"/>
    <sortCondition ref="D7:D16"/>
    <sortCondition ref="F7:F16"/>
    <sortCondition ref="I7:I16"/>
  </sortState>
  <mergeCells count="2">
    <mergeCell ref="N2:S2"/>
    <mergeCell ref="N3:S3"/>
  </mergeCells>
  <phoneticPr fontId="1"/>
  <conditionalFormatting sqref="H7:H16">
    <cfRule type="dataBar" priority="96">
      <dataBar>
        <cfvo type="num" val="0"/>
        <cfvo type="num" val="1"/>
        <color theme="0" tint="-0.249977111117893"/>
      </dataBar>
      <extLst>
        <ext xmlns:x14="http://schemas.microsoft.com/office/spreadsheetml/2009/9/main" uri="{B025F937-C7B1-47D3-B67F-A62EFF666E3E}">
          <x14:id>{BD620B85-7A5D-4DEC-B21D-2C3604714041}</x14:id>
        </ext>
      </extLst>
    </cfRule>
  </conditionalFormatting>
  <conditionalFormatting sqref="N6:CY6">
    <cfRule type="cellIs" dxfId="13" priority="105" operator="equal">
      <formula>"日"</formula>
    </cfRule>
    <cfRule type="cellIs" dxfId="12" priority="106" operator="equal">
      <formula>"土"</formula>
    </cfRule>
  </conditionalFormatting>
  <conditionalFormatting sqref="N6:CY16">
    <cfRule type="expression" dxfId="11" priority="101">
      <formula>IF(N$5=TODAY(), TRUE)</formula>
    </cfRule>
    <cfRule type="expression" dxfId="10" priority="103">
      <formula>IF(OR(N$6="土",N$6="日"), TRUE)</formula>
    </cfRule>
  </conditionalFormatting>
  <conditionalFormatting sqref="N4:CY16">
    <cfRule type="expression" dxfId="9" priority="104">
      <formula>IF(DAY(N$5)=1, TRUE)</formula>
    </cfRule>
  </conditionalFormatting>
  <conditionalFormatting sqref="N7:CY16">
    <cfRule type="expression" dxfId="8" priority="97">
      <formula>IF(AND(N$5&gt;=$I7, N$5&lt;=$J7), TRUE)</formula>
    </cfRule>
  </conditionalFormatting>
  <conditionalFormatting sqref="G7:G16">
    <cfRule type="cellIs" dxfId="7" priority="93" operator="equal">
      <formula>"低"</formula>
    </cfRule>
    <cfRule type="cellIs" dxfId="6" priority="94" operator="equal">
      <formula>"高"</formula>
    </cfRule>
  </conditionalFormatting>
  <conditionalFormatting sqref="B7:L16">
    <cfRule type="expression" dxfId="5" priority="98">
      <formula>IF($H7=1, TRUE)</formula>
    </cfRule>
    <cfRule type="expression" dxfId="4" priority="99">
      <formula>IF(AND($J7&lt;&gt;"", $J7&lt;TODAY(), $H7&lt;&gt;1), TRUE)</formula>
    </cfRule>
    <cfRule type="expression" dxfId="3" priority="100">
      <formula>IF(AND($I7&lt;&gt;"", $I7&lt;=TODAY(), $H7=""), TRUE)</formula>
    </cfRule>
    <cfRule type="expression" dxfId="2" priority="107">
      <formula>IF(AND($I7&lt;=TODAY(), TODAY()&lt;=$J7), TRUE)</formula>
    </cfRule>
  </conditionalFormatting>
  <conditionalFormatting sqref="K7:K16">
    <cfRule type="cellIs" dxfId="1" priority="92" operator="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タスクのソート">
                <anchor moveWithCells="1" sizeWithCells="1">
                  <from>
                    <xdr:col>4</xdr:col>
                    <xdr:colOff>85725</xdr:colOff>
                    <xdr:row>1</xdr:row>
                    <xdr:rowOff>47625</xdr:rowOff>
                  </from>
                  <to>
                    <xdr:col>4</xdr:col>
                    <xdr:colOff>1057275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行の追加">
                <anchor moveWithCells="1" sizeWithCells="1">
                  <from>
                    <xdr:col>5</xdr:col>
                    <xdr:colOff>600075</xdr:colOff>
                    <xdr:row>1</xdr:row>
                    <xdr:rowOff>47625</xdr:rowOff>
                  </from>
                  <to>
                    <xdr:col>7</xdr:col>
                    <xdr:colOff>323850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D620B85-7A5D-4DEC-B21D-2C3604714041}">
            <x14:dataBar minLength="0" maxLength="100" border="1" gradient="0" direction="leftToRight">
              <x14:cfvo type="num">
                <xm:f>0</xm:f>
              </x14:cfvo>
              <x14:cfvo type="num">
                <xm:f>1</xm:f>
              </x14:cfvo>
              <x14:borderColor theme="0"/>
              <x14:negativeFillColor rgb="FFFF0000"/>
              <x14:axisColor rgb="FF000000"/>
            </x14:dataBar>
          </x14:cfRule>
          <xm:sqref>H7:H16</xm:sqref>
        </x14:conditionalFormatting>
        <x14:conditionalFormatting xmlns:xm="http://schemas.microsoft.com/office/excel/2006/main">
          <x14:cfRule type="expression" priority="102" id="{F1BDF1F1-5434-462C-8E0B-8606E77BCAF9}">
            <xm:f>IF(COUNTIF(設定!$K$4:$K$33,N$5), TRUE)</xm:f>
            <x14:dxf>
              <fill>
                <patternFill>
                  <bgColor theme="0" tint="-0.14996795556505021"/>
                </patternFill>
              </fill>
            </x14:dxf>
          </x14:cfRule>
          <xm:sqref>N6:CY16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4">
        <x14:dataValidation type="list" showInputMessage="1" showErrorMessage="1" xr:uid="{52F8D8FC-227D-469D-84EA-1FA850D449D1}">
          <x14:formula1>
            <xm:f>OFFSET(設定!$G$4,,,COUNTA(設定!$G$4:$G$33)+1)</xm:f>
          </x14:formula1>
          <xm:sqref>C7:C16</xm:sqref>
        </x14:dataValidation>
        <x14:dataValidation type="list" showInputMessage="1" showErrorMessage="1" xr:uid="{F26B7C2D-2556-4DB7-AC89-0E806F951CB4}">
          <x14:formula1>
            <xm:f>OFFSET(設定!$H$4,,,COUNTA(設定!$H$4:$H$33)+1)</xm:f>
          </x14:formula1>
          <xm:sqref>D7:D16</xm:sqref>
        </x14:dataValidation>
        <x14:dataValidation type="list" showInputMessage="1" showErrorMessage="1" xr:uid="{9F60A45A-E0C2-48C0-B833-0A3BED34D868}">
          <x14:formula1>
            <xm:f>OFFSET(設定!$I$4,,,COUNTA(設定!$I$4:$I$33)+1)</xm:f>
          </x14:formula1>
          <xm:sqref>F7:F16</xm:sqref>
        </x14:dataValidation>
        <x14:dataValidation type="list" showInputMessage="1" showErrorMessage="1" xr:uid="{5380B05F-6935-4492-938A-66AA2476210B}">
          <x14:formula1>
            <xm:f>OFFSET(設定!$J$4,,,COUNTA(設定!$J$4:$J$33)+1)</xm:f>
          </x14:formula1>
          <xm:sqref>G7:G16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1F000B-AEDE-4A3C-AEA6-25D1323B1136}">
  <sheetPr codeName="Sheet2"/>
  <dimension ref="A1:K33"/>
  <sheetViews>
    <sheetView zoomScale="115" zoomScaleNormal="115" workbookViewId="0"/>
  </sheetViews>
  <sheetFormatPr defaultRowHeight="15.75" x14ac:dyDescent="0.25"/>
  <cols>
    <col min="1" max="1" width="3.625" style="1" customWidth="1"/>
    <col min="2" max="5" width="8.75" style="1" customWidth="1"/>
    <col min="6" max="6" width="16.625" style="1" bestFit="1" customWidth="1"/>
    <col min="7" max="7" width="18.625" style="1" customWidth="1"/>
    <col min="8" max="8" width="13.375" style="1" bestFit="1" customWidth="1"/>
    <col min="9" max="9" width="9" style="1"/>
    <col min="10" max="10" width="7.375" style="1" bestFit="1" customWidth="1"/>
    <col min="11" max="16384" width="9" style="1"/>
  </cols>
  <sheetData>
    <row r="1" spans="1:11" ht="21" x14ac:dyDescent="0.3">
      <c r="A1" s="2" t="s">
        <v>10</v>
      </c>
    </row>
    <row r="3" spans="1:11" x14ac:dyDescent="0.25">
      <c r="B3" s="4" t="s">
        <v>21</v>
      </c>
      <c r="C3" s="4" t="s">
        <v>15</v>
      </c>
      <c r="D3" s="4" t="s">
        <v>16</v>
      </c>
      <c r="E3" s="4" t="s">
        <v>17</v>
      </c>
      <c r="F3" s="4" t="s">
        <v>20</v>
      </c>
      <c r="G3" s="4" t="s">
        <v>8</v>
      </c>
      <c r="H3" s="4" t="s">
        <v>9</v>
      </c>
      <c r="I3" s="4" t="s">
        <v>3</v>
      </c>
      <c r="J3" s="4" t="s">
        <v>2</v>
      </c>
      <c r="K3" s="4" t="s">
        <v>11</v>
      </c>
    </row>
    <row r="4" spans="1:11" x14ac:dyDescent="0.25">
      <c r="B4" s="12">
        <v>4</v>
      </c>
      <c r="C4" s="12">
        <v>7</v>
      </c>
      <c r="D4" s="12" t="s">
        <v>18</v>
      </c>
      <c r="E4" s="12" t="s">
        <v>19</v>
      </c>
      <c r="F4" s="12"/>
      <c r="G4" s="12"/>
      <c r="H4" s="12"/>
      <c r="I4" s="12"/>
      <c r="J4" s="12"/>
      <c r="K4" s="19"/>
    </row>
    <row r="5" spans="1:11" x14ac:dyDescent="0.25">
      <c r="B5" s="30"/>
      <c r="C5" s="30"/>
      <c r="D5" s="30"/>
      <c r="E5" s="30"/>
      <c r="F5" s="12"/>
      <c r="G5" s="12"/>
      <c r="H5" s="12"/>
      <c r="I5" s="12"/>
      <c r="J5" s="12"/>
      <c r="K5" s="19"/>
    </row>
    <row r="6" spans="1:11" x14ac:dyDescent="0.25">
      <c r="B6" s="30"/>
      <c r="C6" s="30"/>
      <c r="D6" s="30"/>
      <c r="E6" s="30"/>
      <c r="F6" s="12"/>
      <c r="G6" s="12"/>
      <c r="H6" s="12"/>
      <c r="I6" s="12"/>
      <c r="J6" s="12"/>
      <c r="K6" s="19"/>
    </row>
    <row r="7" spans="1:11" x14ac:dyDescent="0.25">
      <c r="B7" s="30"/>
      <c r="C7" s="30"/>
      <c r="D7" s="30"/>
      <c r="E7" s="30"/>
      <c r="F7" s="12"/>
      <c r="G7" s="12"/>
      <c r="H7" s="12"/>
      <c r="I7" s="12"/>
      <c r="J7" s="12"/>
      <c r="K7" s="19"/>
    </row>
    <row r="8" spans="1:11" x14ac:dyDescent="0.25">
      <c r="B8" s="30"/>
      <c r="C8" s="30"/>
      <c r="D8" s="30"/>
      <c r="E8" s="30"/>
      <c r="F8" s="12"/>
      <c r="G8" s="12"/>
      <c r="H8" s="12"/>
      <c r="I8" s="12"/>
      <c r="J8" s="12"/>
      <c r="K8" s="19"/>
    </row>
    <row r="9" spans="1:11" x14ac:dyDescent="0.25">
      <c r="B9" s="30"/>
      <c r="C9" s="30"/>
      <c r="D9" s="30"/>
      <c r="E9" s="30"/>
      <c r="F9" s="12"/>
      <c r="G9" s="12"/>
      <c r="H9" s="12"/>
      <c r="I9" s="12"/>
      <c r="J9" s="12"/>
      <c r="K9" s="19"/>
    </row>
    <row r="10" spans="1:11" x14ac:dyDescent="0.25">
      <c r="B10" s="30"/>
      <c r="C10" s="30"/>
      <c r="D10" s="30"/>
      <c r="E10" s="30"/>
      <c r="F10" s="12"/>
      <c r="G10" s="12"/>
      <c r="H10" s="12"/>
      <c r="I10" s="12"/>
      <c r="J10" s="12"/>
      <c r="K10" s="19"/>
    </row>
    <row r="11" spans="1:11" x14ac:dyDescent="0.25">
      <c r="B11" s="30"/>
      <c r="C11" s="30"/>
      <c r="D11" s="30"/>
      <c r="E11" s="30"/>
      <c r="F11" s="12"/>
      <c r="G11" s="12"/>
      <c r="H11" s="12"/>
      <c r="I11" s="12"/>
      <c r="J11" s="12"/>
      <c r="K11" s="19"/>
    </row>
    <row r="12" spans="1:11" x14ac:dyDescent="0.25">
      <c r="B12" s="30"/>
      <c r="C12" s="30"/>
      <c r="D12" s="30"/>
      <c r="E12" s="30"/>
      <c r="F12" s="12"/>
      <c r="G12" s="12"/>
      <c r="H12" s="12"/>
      <c r="I12" s="12"/>
      <c r="J12" s="12"/>
      <c r="K12" s="19"/>
    </row>
    <row r="13" spans="1:11" x14ac:dyDescent="0.25">
      <c r="B13" s="30"/>
      <c r="C13" s="30"/>
      <c r="D13" s="30"/>
      <c r="E13" s="30"/>
      <c r="F13" s="12"/>
      <c r="G13" s="12"/>
      <c r="H13" s="12"/>
      <c r="I13" s="12"/>
      <c r="J13" s="12"/>
      <c r="K13" s="19"/>
    </row>
    <row r="14" spans="1:11" x14ac:dyDescent="0.25">
      <c r="B14" s="30"/>
      <c r="C14" s="30"/>
      <c r="D14" s="30"/>
      <c r="E14" s="30"/>
      <c r="F14" s="12"/>
      <c r="G14" s="12"/>
      <c r="H14" s="12"/>
      <c r="I14" s="12"/>
      <c r="J14" s="12"/>
      <c r="K14" s="19"/>
    </row>
    <row r="15" spans="1:11" x14ac:dyDescent="0.25">
      <c r="B15" s="30"/>
      <c r="C15" s="30"/>
      <c r="D15" s="30"/>
      <c r="E15" s="30"/>
      <c r="F15" s="12"/>
      <c r="G15" s="12"/>
      <c r="H15" s="12"/>
      <c r="I15" s="12"/>
      <c r="J15" s="12"/>
      <c r="K15" s="19"/>
    </row>
    <row r="16" spans="1:11" x14ac:dyDescent="0.25">
      <c r="B16" s="30"/>
      <c r="C16" s="30"/>
      <c r="D16" s="30"/>
      <c r="E16" s="30"/>
      <c r="F16" s="12"/>
      <c r="G16" s="12"/>
      <c r="H16" s="12"/>
      <c r="I16" s="12"/>
      <c r="J16" s="12"/>
      <c r="K16" s="19"/>
    </row>
    <row r="17" spans="2:11" x14ac:dyDescent="0.25">
      <c r="B17" s="30"/>
      <c r="C17" s="30"/>
      <c r="D17" s="30"/>
      <c r="E17" s="30"/>
      <c r="F17" s="12"/>
      <c r="G17" s="12"/>
      <c r="H17" s="12"/>
      <c r="I17" s="12"/>
      <c r="J17" s="12"/>
      <c r="K17" s="19"/>
    </row>
    <row r="18" spans="2:11" x14ac:dyDescent="0.25">
      <c r="B18" s="30"/>
      <c r="C18" s="30"/>
      <c r="D18" s="30"/>
      <c r="E18" s="30"/>
      <c r="F18" s="12"/>
      <c r="G18" s="12"/>
      <c r="H18" s="12"/>
      <c r="I18" s="12"/>
      <c r="J18" s="12"/>
      <c r="K18" s="19"/>
    </row>
    <row r="19" spans="2:11" x14ac:dyDescent="0.25">
      <c r="B19" s="30"/>
      <c r="C19" s="30"/>
      <c r="D19" s="30"/>
      <c r="E19" s="30"/>
      <c r="F19" s="12"/>
      <c r="G19" s="12"/>
      <c r="H19" s="12"/>
      <c r="I19" s="12"/>
      <c r="J19" s="12"/>
      <c r="K19" s="19"/>
    </row>
    <row r="20" spans="2:11" x14ac:dyDescent="0.25">
      <c r="B20" s="30"/>
      <c r="C20" s="30"/>
      <c r="D20" s="30"/>
      <c r="E20" s="30"/>
      <c r="F20" s="12"/>
      <c r="G20" s="12"/>
      <c r="H20" s="12"/>
      <c r="I20" s="12"/>
      <c r="J20" s="12"/>
      <c r="K20" s="19"/>
    </row>
    <row r="21" spans="2:11" x14ac:dyDescent="0.25">
      <c r="B21" s="30"/>
      <c r="C21" s="30"/>
      <c r="D21" s="30"/>
      <c r="E21" s="30"/>
      <c r="F21" s="12"/>
      <c r="G21" s="12"/>
      <c r="H21" s="12"/>
      <c r="I21" s="12"/>
      <c r="J21" s="12"/>
      <c r="K21" s="19"/>
    </row>
    <row r="22" spans="2:11" x14ac:dyDescent="0.25">
      <c r="B22" s="30"/>
      <c r="C22" s="30"/>
      <c r="D22" s="30"/>
      <c r="E22" s="30"/>
      <c r="F22" s="12"/>
      <c r="G22" s="12"/>
      <c r="H22" s="12"/>
      <c r="I22" s="12"/>
      <c r="J22" s="12"/>
      <c r="K22" s="19"/>
    </row>
    <row r="23" spans="2:11" x14ac:dyDescent="0.25">
      <c r="B23" s="30"/>
      <c r="C23" s="30"/>
      <c r="D23" s="30"/>
      <c r="E23" s="30"/>
      <c r="F23" s="12"/>
      <c r="G23" s="12"/>
      <c r="H23" s="12"/>
      <c r="I23" s="12"/>
      <c r="J23" s="12"/>
      <c r="K23" s="19"/>
    </row>
    <row r="24" spans="2:11" x14ac:dyDescent="0.25">
      <c r="B24" s="30"/>
      <c r="C24" s="30"/>
      <c r="D24" s="30"/>
      <c r="E24" s="30"/>
      <c r="F24" s="12"/>
      <c r="G24" s="12"/>
      <c r="H24" s="12"/>
      <c r="I24" s="12"/>
      <c r="J24" s="12"/>
      <c r="K24" s="19"/>
    </row>
    <row r="25" spans="2:11" x14ac:dyDescent="0.25">
      <c r="B25" s="30"/>
      <c r="C25" s="30"/>
      <c r="D25" s="30"/>
      <c r="E25" s="30"/>
      <c r="F25" s="12"/>
      <c r="G25" s="12"/>
      <c r="H25" s="12"/>
      <c r="I25" s="12"/>
      <c r="J25" s="12"/>
      <c r="K25" s="19"/>
    </row>
    <row r="26" spans="2:11" x14ac:dyDescent="0.25">
      <c r="B26" s="30"/>
      <c r="C26" s="30"/>
      <c r="D26" s="30"/>
      <c r="E26" s="30"/>
      <c r="F26" s="12"/>
      <c r="G26" s="12"/>
      <c r="H26" s="12"/>
      <c r="I26" s="12"/>
      <c r="J26" s="12"/>
      <c r="K26" s="19"/>
    </row>
    <row r="27" spans="2:11" x14ac:dyDescent="0.25">
      <c r="B27" s="30"/>
      <c r="C27" s="30"/>
      <c r="D27" s="30"/>
      <c r="E27" s="30"/>
      <c r="F27" s="12"/>
      <c r="G27" s="12"/>
      <c r="H27" s="12"/>
      <c r="I27" s="12"/>
      <c r="J27" s="12"/>
      <c r="K27" s="19"/>
    </row>
    <row r="28" spans="2:11" x14ac:dyDescent="0.25">
      <c r="B28" s="30"/>
      <c r="C28" s="30"/>
      <c r="D28" s="30"/>
      <c r="E28" s="30"/>
      <c r="F28" s="12"/>
      <c r="G28" s="12"/>
      <c r="H28" s="12"/>
      <c r="I28" s="12"/>
      <c r="J28" s="12"/>
      <c r="K28" s="19"/>
    </row>
    <row r="29" spans="2:11" x14ac:dyDescent="0.25">
      <c r="B29" s="30"/>
      <c r="C29" s="30"/>
      <c r="D29" s="30"/>
      <c r="E29" s="30"/>
      <c r="F29" s="12"/>
      <c r="G29" s="12"/>
      <c r="H29" s="12"/>
      <c r="I29" s="12"/>
      <c r="J29" s="12"/>
      <c r="K29" s="19"/>
    </row>
    <row r="30" spans="2:11" x14ac:dyDescent="0.25">
      <c r="B30" s="30"/>
      <c r="C30" s="30"/>
      <c r="D30" s="30"/>
      <c r="E30" s="30"/>
      <c r="F30" s="12"/>
      <c r="G30" s="12"/>
      <c r="H30" s="12"/>
      <c r="I30" s="12"/>
      <c r="J30" s="12"/>
      <c r="K30" s="19"/>
    </row>
    <row r="31" spans="2:11" x14ac:dyDescent="0.25">
      <c r="B31" s="30"/>
      <c r="C31" s="30"/>
      <c r="D31" s="30"/>
      <c r="E31" s="30"/>
      <c r="F31" s="12"/>
      <c r="G31" s="12"/>
      <c r="H31" s="12"/>
      <c r="I31" s="12"/>
      <c r="J31" s="12"/>
      <c r="K31" s="19"/>
    </row>
    <row r="32" spans="2:11" x14ac:dyDescent="0.25">
      <c r="B32" s="30"/>
      <c r="C32" s="30"/>
      <c r="D32" s="30"/>
      <c r="E32" s="30"/>
      <c r="F32" s="12"/>
      <c r="G32" s="12"/>
      <c r="H32" s="12"/>
      <c r="I32" s="12"/>
      <c r="J32" s="12"/>
      <c r="K32" s="19"/>
    </row>
    <row r="33" spans="2:11" x14ac:dyDescent="0.25">
      <c r="B33" s="30"/>
      <c r="C33" s="30"/>
      <c r="D33" s="30"/>
      <c r="E33" s="30"/>
      <c r="F33" s="12"/>
      <c r="G33" s="12"/>
      <c r="H33" s="12"/>
      <c r="I33" s="12"/>
      <c r="J33" s="12"/>
      <c r="K33" s="19"/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一覧</vt:lpstr>
      <vt:lpstr>設定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/>
  <dcterms:created xsi:type="dcterms:W3CDTF">2024-07-19T15:27:39Z</dcterms:created>
  <dcterms:modified xsi:type="dcterms:W3CDTF">2024-07-21T09:28:19Z</dcterms:modified>
</cp:coreProperties>
</file>